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28800" windowHeight="16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theme="6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0" borderId="1" pivotButton="0" quotePrefix="0" xfId="0"/>
    <xf numFmtId="0" fontId="0" fillId="7" borderId="1" pivotButton="0" quotePrefix="0" xfId="0"/>
    <xf numFmtId="0" fontId="0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4" borderId="3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2" applyAlignment="1" pivotButton="0" quotePrefix="0" xfId="0">
      <alignment horizontal="center"/>
    </xf>
    <xf numFmtId="0" fontId="0" fillId="7" borderId="4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3" applyAlignment="1" pivotButton="0" quotePrefix="0" xfId="0">
      <alignment horizontal="center"/>
    </xf>
    <xf numFmtId="0" fontId="0" fillId="6" borderId="2" applyAlignment="1" pivotButton="0" quotePrefix="0" xfId="0">
      <alignment horizontal="center"/>
    </xf>
    <xf numFmtId="0" fontId="0" fillId="6" borderId="4" applyAlignment="1" pivotButton="0" quotePrefix="0" xfId="0">
      <alignment horizontal="center"/>
    </xf>
    <xf numFmtId="0" fontId="0" fillId="6" borderId="3" applyAlignment="1" pivotButton="0" quotePrefix="0" xfId="0">
      <alignment horizontal="center"/>
    </xf>
    <xf numFmtId="0" fontId="0" fillId="8" borderId="2" applyAlignment="1" pivotButton="0" quotePrefix="0" xfId="0">
      <alignment horizontal="center"/>
    </xf>
    <xf numFmtId="0" fontId="0" fillId="8" borderId="4" applyAlignment="1" pivotButton="0" quotePrefix="0" xfId="0">
      <alignment horizontal="center"/>
    </xf>
    <xf numFmtId="0" fontId="0" fillId="8" borderId="3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9" borderId="0" pivotButton="0" quotePrefix="0" xfId="0"/>
    <xf numFmtId="0" fontId="0" fillId="0" borderId="0" pivotButton="0" quotePrefix="0" xfId="0"/>
    <xf numFmtId="0" fontId="0" fillId="9" borderId="0" applyAlignment="1" pivotButton="0" quotePrefix="0" xfId="0">
      <alignment horizontal="center"/>
    </xf>
    <xf numFmtId="0" fontId="0" fillId="9" borderId="0" pivotButton="0" quotePrefix="0" xfId="0"/>
    <xf numFmtId="0" fontId="0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8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6"/>
  <sheetViews>
    <sheetView tabSelected="1" topLeftCell="A27" zoomScale="82" zoomScaleNormal="100" workbookViewId="0">
      <selection activeCell="T56" sqref="T56"/>
    </sheetView>
  </sheetViews>
  <sheetFormatPr baseColWidth="10" defaultRowHeight="16"/>
  <sheetData>
    <row r="2">
      <c r="A2" s="37" t="n"/>
      <c r="B2" s="37" t="n"/>
      <c r="C2" s="37" t="n"/>
      <c r="D2" s="37" t="n"/>
      <c r="E2" s="37" t="n"/>
      <c r="F2" s="37" t="n"/>
      <c r="G2" s="37" t="n"/>
      <c r="H2" s="37" t="n"/>
      <c r="I2" s="37" t="n"/>
      <c r="J2" s="37" t="n"/>
      <c r="K2" s="37" t="n"/>
      <c r="L2" s="37" t="n"/>
      <c r="M2" s="37" t="n"/>
    </row>
    <row r="3">
      <c r="A3" s="37" t="n"/>
      <c r="B3" s="1" t="n"/>
      <c r="C3" s="38" t="inlineStr">
        <is>
          <t>Hari Biasa</t>
        </is>
      </c>
      <c r="D3" s="39" t="n"/>
      <c r="E3" s="38" t="inlineStr">
        <is>
          <t>Hujung Minggu</t>
        </is>
      </c>
      <c r="F3" s="39" t="n"/>
      <c r="G3" s="38" t="inlineStr">
        <is>
          <t>Cuti Umum</t>
        </is>
      </c>
      <c r="H3" s="39" t="n"/>
      <c r="I3" s="29" t="n"/>
      <c r="J3" s="40" t="n"/>
      <c r="K3" s="40" t="n"/>
      <c r="L3" s="40" t="n"/>
      <c r="M3" s="36" t="n"/>
      <c r="N3" s="8" t="n"/>
    </row>
    <row r="4">
      <c r="A4" s="37" t="n"/>
      <c r="B4" s="1" t="inlineStr">
        <is>
          <t>TEAM</t>
        </is>
      </c>
      <c r="C4" s="1" t="inlineStr">
        <is>
          <t>PH1</t>
        </is>
      </c>
      <c r="D4" s="1" t="inlineStr">
        <is>
          <t>PH3</t>
        </is>
      </c>
      <c r="E4" s="1" t="inlineStr">
        <is>
          <t>PH1</t>
        </is>
      </c>
      <c r="F4" s="1" t="inlineStr">
        <is>
          <t>PH3</t>
        </is>
      </c>
      <c r="G4" s="1" t="inlineStr">
        <is>
          <t>PH1</t>
        </is>
      </c>
      <c r="H4" s="1" t="inlineStr">
        <is>
          <t>PH3</t>
        </is>
      </c>
      <c r="I4" s="38" t="inlineStr">
        <is>
          <t>TOTAL PH1</t>
        </is>
      </c>
      <c r="J4" s="39" t="n"/>
      <c r="K4" s="29" t="inlineStr">
        <is>
          <t>TOTAL PH3</t>
        </is>
      </c>
      <c r="L4" s="40" t="n"/>
      <c r="M4" s="37" t="n"/>
    </row>
    <row r="5">
      <c r="A5" s="37" t="n"/>
      <c r="B5" s="1" t="inlineStr">
        <is>
          <t>KMRT0001</t>
        </is>
      </c>
      <c r="C5" s="7" t="n"/>
      <c r="D5" s="7" t="n"/>
      <c r="E5" s="7" t="n"/>
      <c r="F5" s="7" t="n"/>
      <c r="G5" s="7" t="n"/>
      <c r="H5" s="7" t="n"/>
      <c r="I5" s="16" t="n"/>
      <c r="J5" s="39" t="n"/>
      <c r="K5" s="17" t="n"/>
      <c r="L5" s="40" t="n"/>
      <c r="M5" s="37" t="n"/>
      <c r="W5" t="n">
        <v>366</v>
      </c>
      <c r="X5">
        <f>SUM(W5:W12)</f>
        <v/>
      </c>
    </row>
    <row r="6">
      <c r="A6" s="37" t="n"/>
      <c r="B6" s="1" t="inlineStr">
        <is>
          <t>KMRT0002</t>
        </is>
      </c>
      <c r="C6" s="4">
        <f>105+118+53</f>
        <v/>
      </c>
      <c r="D6" s="4">
        <f>2+10+8</f>
        <v/>
      </c>
      <c r="E6" s="4">
        <f>43+5</f>
        <v/>
      </c>
      <c r="F6" s="4">
        <f>1</f>
        <v/>
      </c>
      <c r="G6" s="4" t="n"/>
      <c r="H6" s="4" t="n"/>
      <c r="I6" s="33">
        <f>C6+E6+G6</f>
        <v/>
      </c>
      <c r="J6" s="39" t="n"/>
      <c r="K6" s="23">
        <f>D6+F6+H6</f>
        <v/>
      </c>
      <c r="L6" s="40" t="n"/>
      <c r="M6" s="37" t="n"/>
      <c r="W6" t="n">
        <v>697</v>
      </c>
    </row>
    <row r="7">
      <c r="A7" s="37" t="n"/>
      <c r="B7" s="1" t="inlineStr">
        <is>
          <t>KMRT0003</t>
        </is>
      </c>
      <c r="C7" s="2">
        <f>88+103+53</f>
        <v/>
      </c>
      <c r="D7" s="2">
        <f>4+6+8</f>
        <v/>
      </c>
      <c r="E7" s="2">
        <f>28+2</f>
        <v/>
      </c>
      <c r="F7" s="2" t="n"/>
      <c r="G7" s="2" t="n"/>
      <c r="H7" s="2" t="n"/>
      <c r="I7" s="41">
        <f>C7+E7+G7</f>
        <v/>
      </c>
      <c r="J7" s="39" t="n"/>
      <c r="K7" s="26">
        <f>D7+F7+H7</f>
        <v/>
      </c>
      <c r="L7" s="40" t="n"/>
      <c r="M7" s="37" t="n"/>
      <c r="P7" t="inlineStr">
        <is>
          <t>Kira until SO 30/4</t>
        </is>
      </c>
      <c r="W7" t="n">
        <v>983</v>
      </c>
    </row>
    <row r="8">
      <c r="A8" s="37" t="n"/>
      <c r="B8" s="1" t="inlineStr">
        <is>
          <t>KMRT0004</t>
        </is>
      </c>
      <c r="C8" s="4">
        <f>100+110+48</f>
        <v/>
      </c>
      <c r="D8" s="4">
        <f>3+15+9</f>
        <v/>
      </c>
      <c r="E8" s="4">
        <f>29+15+5</f>
        <v/>
      </c>
      <c r="F8" s="4">
        <f>1+1</f>
        <v/>
      </c>
      <c r="G8" s="4" t="n"/>
      <c r="H8" s="4" t="n"/>
      <c r="I8" s="33">
        <f>C8+E8+G8</f>
        <v/>
      </c>
      <c r="J8" s="39" t="n"/>
      <c r="K8" s="23">
        <f>D8+F8+H8</f>
        <v/>
      </c>
      <c r="L8" s="40" t="n"/>
      <c r="M8" s="37" t="n"/>
      <c r="W8" t="n">
        <v>800</v>
      </c>
    </row>
    <row r="9">
      <c r="A9" s="37" t="n"/>
      <c r="B9" s="1" t="inlineStr">
        <is>
          <t>KMRT0005</t>
        </is>
      </c>
      <c r="C9" s="2">
        <f>97+110+56</f>
        <v/>
      </c>
      <c r="D9" s="2">
        <f>1+10+12</f>
        <v/>
      </c>
      <c r="E9" s="2">
        <f>46+27</f>
        <v/>
      </c>
      <c r="F9" s="2" t="n"/>
      <c r="G9" s="2" t="n"/>
      <c r="H9" s="2" t="n"/>
      <c r="I9" s="41">
        <f>C9+E9+G9</f>
        <v/>
      </c>
      <c r="J9" s="39" t="n"/>
      <c r="K9" s="26">
        <f>D9+F9+H9</f>
        <v/>
      </c>
      <c r="L9" s="40" t="n"/>
      <c r="M9" s="37" t="n"/>
    </row>
    <row r="10">
      <c r="A10" s="37" t="n"/>
      <c r="B10" s="1" t="inlineStr">
        <is>
          <t>KMRT0006</t>
        </is>
      </c>
      <c r="C10" s="5">
        <f>79+125+50</f>
        <v/>
      </c>
      <c r="D10" s="5" t="n"/>
      <c r="E10" s="5">
        <f>34+20+12</f>
        <v/>
      </c>
      <c r="F10" s="5" t="n"/>
      <c r="G10" s="5" t="n"/>
      <c r="H10" s="5" t="n"/>
      <c r="I10" s="33">
        <f>C10+E10+G10</f>
        <v/>
      </c>
      <c r="J10" s="39" t="n"/>
      <c r="K10" s="23">
        <f>D10+F10+H10</f>
        <v/>
      </c>
      <c r="L10" s="40" t="n"/>
      <c r="M10" s="37" t="n"/>
    </row>
    <row r="11">
      <c r="A11" s="37" t="n"/>
      <c r="B11" s="1" t="inlineStr">
        <is>
          <t>KMRT0007</t>
        </is>
      </c>
      <c r="C11" s="2">
        <f>103+116+46</f>
        <v/>
      </c>
      <c r="D11" s="2">
        <f>3+17+12</f>
        <v/>
      </c>
      <c r="E11" s="2">
        <f>37+19+8</f>
        <v/>
      </c>
      <c r="F11" s="2">
        <f>2</f>
        <v/>
      </c>
      <c r="G11" s="2" t="n"/>
      <c r="H11" s="2" t="n"/>
      <c r="I11" s="41">
        <f>C11+E11+G11</f>
        <v/>
      </c>
      <c r="J11" s="39" t="n"/>
      <c r="K11" s="26">
        <f>D11+F11+H11</f>
        <v/>
      </c>
      <c r="L11" s="40" t="n"/>
      <c r="M11" s="37" t="n"/>
      <c r="P11" s="6" t="n"/>
      <c r="Q11" s="15" t="inlineStr">
        <is>
          <t>Hari Biasa</t>
        </is>
      </c>
      <c r="R11" s="39" t="n"/>
      <c r="S11" s="15" t="inlineStr">
        <is>
          <t>Hujung Minggu</t>
        </is>
      </c>
      <c r="T11" s="39" t="n"/>
    </row>
    <row r="12">
      <c r="A12" s="37" t="n"/>
      <c r="B12" s="1" t="inlineStr">
        <is>
          <t>KMRT0008</t>
        </is>
      </c>
      <c r="C12" s="5">
        <f>108+130+25</f>
        <v/>
      </c>
      <c r="D12" s="5">
        <f>1+6+11</f>
        <v/>
      </c>
      <c r="E12" s="5">
        <f>32+22</f>
        <v/>
      </c>
      <c r="F12" s="5">
        <f>5</f>
        <v/>
      </c>
      <c r="G12" s="5" t="n"/>
      <c r="H12" s="5" t="n"/>
      <c r="I12" s="33">
        <f>C12+E12+G12</f>
        <v/>
      </c>
      <c r="J12" s="39" t="n"/>
      <c r="K12" s="23">
        <f>D12+F12+H12</f>
        <v/>
      </c>
      <c r="L12" s="40" t="n"/>
      <c r="M12" s="37" t="n"/>
      <c r="P12" s="6" t="n"/>
      <c r="Q12" s="6" t="inlineStr">
        <is>
          <t>PH1</t>
        </is>
      </c>
      <c r="R12" s="6" t="inlineStr">
        <is>
          <t>PH2</t>
        </is>
      </c>
      <c r="S12" s="6" t="inlineStr">
        <is>
          <t>PH1</t>
        </is>
      </c>
      <c r="T12" s="6" t="inlineStr">
        <is>
          <t>PH2</t>
        </is>
      </c>
    </row>
    <row r="13">
      <c r="A13" s="37" t="n"/>
      <c r="B13" s="1" t="inlineStr">
        <is>
          <t>TOTAL TECO</t>
        </is>
      </c>
      <c r="C13" s="42">
        <f>SUM(C5:D12)</f>
        <v/>
      </c>
      <c r="D13" s="39" t="n"/>
      <c r="E13" s="42">
        <f>SUM(E5:F12)</f>
        <v/>
      </c>
      <c r="F13" s="39" t="n"/>
      <c r="G13" s="42">
        <f>SUM(G5:H12)</f>
        <v/>
      </c>
      <c r="H13" s="39" t="n"/>
      <c r="I13" s="42" t="inlineStr">
        <is>
          <t>TOTAL:</t>
        </is>
      </c>
      <c r="J13" s="39" t="n"/>
      <c r="K13" s="20">
        <f>SUM(I5:L12)</f>
        <v/>
      </c>
      <c r="L13" s="40" t="n"/>
      <c r="M13" s="37" t="n"/>
      <c r="P13" s="6" t="inlineStr">
        <is>
          <t>KMRT0002</t>
        </is>
      </c>
      <c r="Q13" s="6" t="n">
        <v>79</v>
      </c>
      <c r="R13" s="6" t="n">
        <v>32</v>
      </c>
      <c r="S13" s="6" t="n">
        <v>18</v>
      </c>
      <c r="T13" s="6" t="n">
        <v>41</v>
      </c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P14" s="6" t="inlineStr">
        <is>
          <t>KMRT0004</t>
        </is>
      </c>
      <c r="Q14" s="6" t="n">
        <v>85</v>
      </c>
      <c r="R14" s="6" t="n">
        <v>17</v>
      </c>
      <c r="S14" s="6" t="n">
        <v>20</v>
      </c>
      <c r="T14" s="6" t="n">
        <v>12</v>
      </c>
    </row>
    <row r="15">
      <c r="A15" s="37" t="n"/>
      <c r="G15" s="37" t="n"/>
      <c r="P15" s="6" t="inlineStr">
        <is>
          <t>KMRT0008</t>
        </is>
      </c>
      <c r="Q15" s="6" t="n">
        <v>78</v>
      </c>
      <c r="R15" s="6" t="n">
        <v>19</v>
      </c>
      <c r="S15" s="6" t="n">
        <v>17</v>
      </c>
      <c r="T15" s="6" t="n">
        <v>23</v>
      </c>
    </row>
    <row r="16">
      <c r="A16" s="37" t="n"/>
      <c r="B16" s="3" t="n"/>
      <c r="C16" s="32" t="inlineStr">
        <is>
          <t>KIRAAN GAJI PEKERJA (RM)</t>
        </is>
      </c>
      <c r="D16" s="40" t="n"/>
      <c r="E16" s="40" t="n"/>
      <c r="F16" s="39" t="n"/>
      <c r="G16" s="37" t="n"/>
      <c r="I16" s="3" t="n"/>
      <c r="J16" s="32" t="inlineStr">
        <is>
          <t>KIRAAN GAJI PEKERJA (RM) after SOCSO</t>
        </is>
      </c>
      <c r="K16" s="40" t="n"/>
      <c r="L16" s="40" t="n"/>
      <c r="M16" s="39" t="n"/>
      <c r="P16" s="5" t="inlineStr">
        <is>
          <t>Total TECO</t>
        </is>
      </c>
      <c r="Q16" s="5">
        <f>SUM(Q13:Q15)</f>
        <v/>
      </c>
      <c r="R16" s="5">
        <f>SUM(R13:R15)</f>
        <v/>
      </c>
      <c r="S16" s="5">
        <f>SUM(S13:S15)</f>
        <v/>
      </c>
      <c r="T16" s="5">
        <f>SUM(T13:T15)</f>
        <v/>
      </c>
    </row>
    <row r="17">
      <c r="A17" s="37" t="n"/>
      <c r="B17" s="3" t="inlineStr">
        <is>
          <t>TEAM</t>
        </is>
      </c>
      <c r="C17" s="32" t="inlineStr">
        <is>
          <t>HELPER</t>
        </is>
      </c>
      <c r="D17" s="39" t="n"/>
      <c r="E17" s="32" t="inlineStr">
        <is>
          <t>INSTALLER</t>
        </is>
      </c>
      <c r="F17" s="39" t="n"/>
      <c r="G17" s="37" t="n"/>
      <c r="I17" s="3" t="inlineStr">
        <is>
          <t>TEAM</t>
        </is>
      </c>
      <c r="J17" s="32" t="inlineStr">
        <is>
          <t>HELPER</t>
        </is>
      </c>
      <c r="K17" s="39" t="n"/>
      <c r="L17" s="32" t="inlineStr">
        <is>
          <t>INSTALLER</t>
        </is>
      </c>
      <c r="M17" s="39" t="n"/>
      <c r="P17" s="5" t="inlineStr">
        <is>
          <t>TOTAL SO</t>
        </is>
      </c>
      <c r="Q17" s="33">
        <f>SUM(Q13:T15)</f>
        <v/>
      </c>
      <c r="R17" s="40" t="n"/>
      <c r="S17" s="40" t="n"/>
      <c r="T17" s="39" t="n"/>
    </row>
    <row r="18">
      <c r="A18" s="37" t="n"/>
      <c r="B18" s="3" t="inlineStr">
        <is>
          <t>KMRT0001</t>
        </is>
      </c>
      <c r="C18" s="15">
        <f>(C5*12)+(E5*15.5)+(G5*17)+(D5*14.5)+(F5*16.5)+(H5*18.5)</f>
        <v/>
      </c>
      <c r="D18" s="39" t="n"/>
      <c r="E18" s="15">
        <f>SUM(C5*15)+(E5*19.5)+(G5*22)+(D5*17.5)+(F5*20.5)+(H5*23.5)</f>
        <v/>
      </c>
      <c r="F18" s="39" t="n"/>
      <c r="G18" s="37" t="n"/>
      <c r="I18" s="3" t="inlineStr">
        <is>
          <t>KMRT0001</t>
        </is>
      </c>
      <c r="J18" s="15">
        <f>C18-180</f>
        <v/>
      </c>
      <c r="K18" s="39" t="n"/>
      <c r="L18" s="15">
        <f>E18-280</f>
        <v/>
      </c>
      <c r="M18" s="39" t="n"/>
    </row>
    <row r="19">
      <c r="A19" s="37" t="n"/>
      <c r="B19" s="3" t="inlineStr">
        <is>
          <t>KMRT0002</t>
        </is>
      </c>
      <c r="C19" s="15">
        <f>(C6*12)+(E6*15.5)+(G6*17)+(D6*14.5)+(F6*16.5)+(H6*18.5)</f>
        <v/>
      </c>
      <c r="D19" s="39" t="n"/>
      <c r="E19" s="15">
        <f>SUM(C6*15)+(E6*19.5)+(G6*22)+(D6*17.5)+(F6*20.5)+(H6*23.5)</f>
        <v/>
      </c>
      <c r="F19" s="39" t="n"/>
      <c r="G19" s="37" t="n"/>
      <c r="I19" s="3" t="inlineStr">
        <is>
          <t>KMRT0002</t>
        </is>
      </c>
      <c r="J19" s="15">
        <f>C19-180</f>
        <v/>
      </c>
      <c r="K19" s="39" t="n"/>
      <c r="L19" s="15">
        <f>E19-280</f>
        <v/>
      </c>
      <c r="M19" s="39" t="n"/>
    </row>
    <row r="20">
      <c r="A20" s="37" t="n"/>
      <c r="B20" s="3" t="inlineStr">
        <is>
          <t>KMRT0003</t>
        </is>
      </c>
      <c r="C20" s="15">
        <f>(C7*12)+(E7*15.5)+(G7*17)+(D7*14.5)+(F7*16.5)+(H7*18.5)</f>
        <v/>
      </c>
      <c r="D20" s="39" t="n"/>
      <c r="E20" s="15">
        <f>SUM(C7*15)+(E7*19.5)+(G7*22)+(D7*17.5)+(F7*20.5)+(H7*23.5)</f>
        <v/>
      </c>
      <c r="F20" s="39" t="n"/>
      <c r="G20" s="37" t="n"/>
      <c r="I20" s="3" t="inlineStr">
        <is>
          <t>KMRT0003</t>
        </is>
      </c>
      <c r="J20" s="15">
        <f>C20-180</f>
        <v/>
      </c>
      <c r="K20" s="39" t="n"/>
      <c r="L20" s="15">
        <f>E20-280</f>
        <v/>
      </c>
      <c r="M20" s="39" t="n"/>
    </row>
    <row r="21">
      <c r="A21" s="37" t="n"/>
      <c r="B21" s="3" t="inlineStr">
        <is>
          <t>KMRT0004</t>
        </is>
      </c>
      <c r="C21" s="15">
        <f>(C8*12)+(E8*15.5)+(G8*17)+(D8*14.5)+(F8*16.5)+(H8*18.5)</f>
        <v/>
      </c>
      <c r="D21" s="39" t="n"/>
      <c r="E21" s="15">
        <f>SUM(C8*15)+(E8*19.5)+(G8*22)+(D8*17.5)+(F8*20.5)+(H8*23.5)</f>
        <v/>
      </c>
      <c r="F21" s="39" t="n"/>
      <c r="G21" s="37" t="n"/>
      <c r="I21" s="3" t="inlineStr">
        <is>
          <t>KMRT0004</t>
        </is>
      </c>
      <c r="J21" s="15">
        <f>C21-180</f>
        <v/>
      </c>
      <c r="K21" s="39" t="n"/>
      <c r="L21" s="15">
        <f>E21-280</f>
        <v/>
      </c>
      <c r="M21" s="39" t="n"/>
    </row>
    <row r="22">
      <c r="A22" s="37" t="n"/>
      <c r="B22" s="3" t="inlineStr">
        <is>
          <t>KMRT0005</t>
        </is>
      </c>
      <c r="C22" s="15">
        <f>(C9*12)+(E9*15.5)+(G9*17)+(D9*14.5)+(F9*16.5)+(H9*18.5)</f>
        <v/>
      </c>
      <c r="D22" s="39" t="n"/>
      <c r="E22" s="15">
        <f>SUM(C9*15)+(E9*19.5)+(G9*22)+(D9*17.5)+(F9*20.5)+(H9*23.5)</f>
        <v/>
      </c>
      <c r="F22" s="39" t="n"/>
      <c r="G22" s="37" t="n"/>
      <c r="I22" s="3" t="inlineStr">
        <is>
          <t>KMRT0005</t>
        </is>
      </c>
      <c r="J22" s="15">
        <f>C22-180</f>
        <v/>
      </c>
      <c r="K22" s="39" t="n"/>
      <c r="L22" s="15">
        <f>E22-280</f>
        <v/>
      </c>
      <c r="M22" s="39" t="n"/>
    </row>
    <row r="23">
      <c r="A23" s="37" t="n"/>
      <c r="B23" s="3" t="inlineStr">
        <is>
          <t>KMRT0006</t>
        </is>
      </c>
      <c r="C23" s="15">
        <f>(C10*12)+(E10*15.5)+(G10*17)+(D10*14.5)+(F10*16.5)+(H10*18.5)</f>
        <v/>
      </c>
      <c r="D23" s="39" t="n"/>
      <c r="E23" s="15">
        <f>SUM(C10*15)+(E10*19.5)+(G10*22)+(D10*17.5)+(F10*20.5)+(H10*23.5)</f>
        <v/>
      </c>
      <c r="F23" s="39" t="n"/>
      <c r="G23" s="37" t="n"/>
      <c r="I23" s="3" t="inlineStr">
        <is>
          <t>KMRT0006</t>
        </is>
      </c>
      <c r="J23" s="15">
        <f>C23-180</f>
        <v/>
      </c>
      <c r="K23" s="39" t="n"/>
      <c r="L23" s="15">
        <f>E23-280</f>
        <v/>
      </c>
      <c r="M23" s="39" t="n"/>
    </row>
    <row r="24">
      <c r="A24" s="37" t="n"/>
      <c r="B24" s="3" t="inlineStr">
        <is>
          <t>KMRT0007</t>
        </is>
      </c>
      <c r="C24" s="15">
        <f>(C11*12)+(E11*15.5)+(G11*17)+(D11*14.5)+(F11*16.5)+(H11*18.5)</f>
        <v/>
      </c>
      <c r="D24" s="39" t="n"/>
      <c r="E24" s="15">
        <f>SUM(C11*15)+(E11*19.5)+(G11*22)+(D11*17.5)+(F11*20.5)+(H11*23.5)</f>
        <v/>
      </c>
      <c r="F24" s="39" t="n"/>
      <c r="G24" s="37" t="n"/>
      <c r="I24" s="3" t="inlineStr">
        <is>
          <t>KMRT0007</t>
        </is>
      </c>
      <c r="J24" s="15">
        <f>C24-180</f>
        <v/>
      </c>
      <c r="K24" s="39" t="n"/>
      <c r="L24" s="15">
        <f>E24-280</f>
        <v/>
      </c>
      <c r="M24" s="39" t="n"/>
      <c r="P24" s="3" t="n"/>
      <c r="Q24" s="32" t="inlineStr">
        <is>
          <t>KIRAAN GAJI PEKERJA (RM)</t>
        </is>
      </c>
      <c r="R24" s="40" t="n"/>
      <c r="S24" s="40" t="n"/>
      <c r="T24" s="39" t="n"/>
    </row>
    <row r="25">
      <c r="A25" s="37" t="n"/>
      <c r="B25" s="3" t="inlineStr">
        <is>
          <t>KMRT0008</t>
        </is>
      </c>
      <c r="C25" s="15">
        <f>(C12*12)+(E12*15.5)+(G12*17)+(D12*14.5)+(F12*16.5)+(H12*18.5)</f>
        <v/>
      </c>
      <c r="D25" s="39" t="n"/>
      <c r="E25" s="15">
        <f>SUM(C12*15)+(E12*19.5)+(G12*22)+(D12*17.5)+(F12*20.5)+(H12*23.5)</f>
        <v/>
      </c>
      <c r="F25" s="39" t="n"/>
      <c r="G25" s="37" t="n"/>
      <c r="I25" s="3" t="inlineStr">
        <is>
          <t>KMRT0008</t>
        </is>
      </c>
      <c r="J25" s="15">
        <f>C25-180</f>
        <v/>
      </c>
      <c r="K25" s="39" t="n"/>
      <c r="L25" s="15">
        <f>E25-280</f>
        <v/>
      </c>
      <c r="M25" s="39" t="n"/>
      <c r="P25" s="3" t="inlineStr">
        <is>
          <t>TEAM</t>
        </is>
      </c>
      <c r="Q25" s="32" t="inlineStr">
        <is>
          <t>HELPER</t>
        </is>
      </c>
      <c r="R25" s="39" t="n"/>
      <c r="S25" s="32" t="inlineStr">
        <is>
          <t>INSTALLER</t>
        </is>
      </c>
      <c r="T25" s="39" t="n"/>
    </row>
    <row r="26">
      <c r="A26" s="37" t="n"/>
      <c r="B26" s="3" t="inlineStr">
        <is>
          <t>SV</t>
        </is>
      </c>
      <c r="C26" s="15">
        <f>SUM(C13*3)+(E13*4)+(G13*4)</f>
        <v/>
      </c>
      <c r="D26" s="40" t="n"/>
      <c r="E26" s="40" t="n"/>
      <c r="F26" s="39" t="n"/>
      <c r="G26" s="37" t="n"/>
      <c r="I26" s="3" t="inlineStr">
        <is>
          <t>SV</t>
        </is>
      </c>
      <c r="J26" s="15">
        <f>C26-180</f>
        <v/>
      </c>
      <c r="K26" s="40" t="n"/>
      <c r="L26" s="40" t="n"/>
      <c r="M26" s="39" t="n"/>
      <c r="P26" s="3" t="inlineStr">
        <is>
          <t>KMRT0001</t>
        </is>
      </c>
      <c r="Q26" s="15" t="n">
        <v>3315</v>
      </c>
      <c r="R26" s="39" t="n"/>
      <c r="S26" s="15" t="n">
        <v>4114</v>
      </c>
      <c r="T26" s="39" t="n"/>
    </row>
    <row r="27">
      <c r="A27" s="37" t="n"/>
      <c r="B27" s="37" t="n"/>
      <c r="C27" s="37" t="n"/>
      <c r="D27" s="37" t="n"/>
      <c r="E27" s="37" t="n"/>
      <c r="F27" s="37" t="n"/>
      <c r="G27" s="37" t="n"/>
      <c r="P27" s="3" t="inlineStr">
        <is>
          <t>KMRT0002</t>
        </is>
      </c>
      <c r="Q27" s="15" t="n">
        <v>7734.5</v>
      </c>
      <c r="R27" s="39" t="n"/>
      <c r="S27" s="15" t="n">
        <v>10314.5</v>
      </c>
      <c r="T27" s="39" t="n"/>
    </row>
    <row r="28">
      <c r="P28" s="3" t="inlineStr">
        <is>
          <t>KMRT0003</t>
        </is>
      </c>
      <c r="Q28" s="15" t="n">
        <v>7012</v>
      </c>
      <c r="R28" s="39" t="n"/>
      <c r="S28" s="15" t="n">
        <v>8763</v>
      </c>
      <c r="T28" s="39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P29" s="3" t="inlineStr">
        <is>
          <t>KMRT0004</t>
        </is>
      </c>
      <c r="Q29" s="15" t="n">
        <v>7742.5</v>
      </c>
      <c r="R29" s="39" t="n"/>
      <c r="S29" s="15" t="n">
        <v>2208.5</v>
      </c>
      <c r="T29" s="39" t="n"/>
    </row>
    <row r="30">
      <c r="A30" s="37" t="n"/>
      <c r="B30" s="15" t="inlineStr">
        <is>
          <t>KIV</t>
        </is>
      </c>
      <c r="C30" s="40" t="n"/>
      <c r="D30" s="40" t="n"/>
      <c r="E30" s="40" t="n"/>
      <c r="F30" s="40" t="n"/>
      <c r="G30" s="40" t="n"/>
      <c r="H30" s="40" t="n"/>
      <c r="I30" s="40" t="n"/>
      <c r="J30" s="40" t="n"/>
      <c r="K30" s="40" t="n"/>
      <c r="L30" s="39" t="n"/>
      <c r="M30" s="37" t="n"/>
      <c r="P30" s="3" t="inlineStr">
        <is>
          <t>KMRT0005</t>
        </is>
      </c>
      <c r="Q30" s="15" t="n">
        <v>9666.5</v>
      </c>
      <c r="R30" s="39" t="n"/>
      <c r="S30" s="15" t="n">
        <v>11943.5</v>
      </c>
      <c r="T30" s="39" t="n"/>
    </row>
    <row r="31">
      <c r="A31" s="37" t="n"/>
      <c r="B31" s="1" t="n"/>
      <c r="C31" s="38" t="inlineStr">
        <is>
          <t>Hari Biasa</t>
        </is>
      </c>
      <c r="D31" s="39" t="n"/>
      <c r="E31" s="38" t="inlineStr">
        <is>
          <t>Hujung Minggu</t>
        </is>
      </c>
      <c r="F31" s="39" t="n"/>
      <c r="G31" s="38" t="inlineStr">
        <is>
          <t>Cuti Umum</t>
        </is>
      </c>
      <c r="H31" s="39" t="n"/>
      <c r="I31" s="29" t="n"/>
      <c r="J31" s="40" t="n"/>
      <c r="K31" s="40" t="n"/>
      <c r="L31" s="40" t="n"/>
      <c r="M31" s="37" t="n"/>
      <c r="P31" s="3" t="inlineStr">
        <is>
          <t>KMRT0006</t>
        </is>
      </c>
      <c r="Q31" s="15" t="n">
        <v>1768.5</v>
      </c>
      <c r="R31" s="39" t="n"/>
      <c r="S31" s="15" t="n">
        <v>2215.5</v>
      </c>
      <c r="T31" s="39" t="n"/>
    </row>
    <row r="32">
      <c r="A32" s="37" t="n"/>
      <c r="B32" s="1" t="inlineStr">
        <is>
          <t>TEAM</t>
        </is>
      </c>
      <c r="C32" s="1" t="inlineStr">
        <is>
          <t>PH1</t>
        </is>
      </c>
      <c r="D32" s="1" t="inlineStr">
        <is>
          <t>PH3</t>
        </is>
      </c>
      <c r="E32" s="1" t="inlineStr">
        <is>
          <t>PH1</t>
        </is>
      </c>
      <c r="F32" s="1" t="inlineStr">
        <is>
          <t>PH3</t>
        </is>
      </c>
      <c r="G32" s="1" t="inlineStr">
        <is>
          <t>PH1</t>
        </is>
      </c>
      <c r="H32" s="1" t="inlineStr">
        <is>
          <t>PH3</t>
        </is>
      </c>
      <c r="I32" s="38" t="inlineStr">
        <is>
          <t>TOTAL PH1</t>
        </is>
      </c>
      <c r="J32" s="39" t="n"/>
      <c r="K32" s="29" t="inlineStr">
        <is>
          <t>TOTAL PH3</t>
        </is>
      </c>
      <c r="L32" s="40" t="n"/>
      <c r="M32" s="37" t="n"/>
      <c r="P32" s="3" t="inlineStr">
        <is>
          <t>KMRT0007</t>
        </is>
      </c>
      <c r="Q32" s="15" t="n">
        <v>217</v>
      </c>
      <c r="R32" s="39" t="n"/>
      <c r="S32" s="15" t="n">
        <v>273</v>
      </c>
      <c r="T32" s="39" t="n"/>
    </row>
    <row r="33">
      <c r="A33" s="37" t="n"/>
      <c r="B33" s="1" t="inlineStr">
        <is>
          <t>KMRT0001</t>
        </is>
      </c>
      <c r="C33" s="7" t="n"/>
      <c r="D33" s="7" t="n"/>
      <c r="E33" s="7" t="n"/>
      <c r="F33" s="7" t="n"/>
      <c r="G33" s="7" t="n"/>
      <c r="H33" s="7" t="n"/>
      <c r="I33" s="16" t="n"/>
      <c r="J33" s="39" t="n"/>
      <c r="K33" s="17" t="n"/>
      <c r="L33" s="40" t="n"/>
      <c r="M33" s="37" t="n"/>
      <c r="P33" s="3" t="inlineStr">
        <is>
          <t>KMRT0008</t>
        </is>
      </c>
      <c r="Q33" s="15" t="n">
        <v>1854.5</v>
      </c>
      <c r="R33" s="39" t="n"/>
      <c r="S33" s="15" t="n">
        <v>8929.5</v>
      </c>
      <c r="T33" s="39" t="n"/>
    </row>
    <row r="34">
      <c r="A34" s="37" t="n"/>
      <c r="B34" s="1" t="inlineStr">
        <is>
          <t>KMRT0002</t>
        </is>
      </c>
      <c r="C34" s="4" t="n"/>
      <c r="D34" s="4" t="n"/>
      <c r="E34" s="4" t="n"/>
      <c r="F34" s="4" t="n"/>
      <c r="G34" s="4" t="n"/>
      <c r="H34" s="4" t="n"/>
      <c r="I34" s="33">
        <f>C34+E34+G34</f>
        <v/>
      </c>
      <c r="J34" s="39" t="n"/>
      <c r="K34" s="23">
        <f>D34+F34+H34</f>
        <v/>
      </c>
      <c r="L34" s="40" t="n"/>
      <c r="M34" s="37" t="n"/>
      <c r="P34" s="3" t="inlineStr">
        <is>
          <t>SV</t>
        </is>
      </c>
      <c r="Q34" s="15" t="n">
        <v>9361</v>
      </c>
      <c r="R34" s="40" t="n"/>
      <c r="S34" s="40" t="n"/>
      <c r="T34" s="39" t="n"/>
    </row>
    <row r="35">
      <c r="A35" s="37" t="n"/>
      <c r="B35" s="1" t="inlineStr">
        <is>
          <t>KMRT0003</t>
        </is>
      </c>
      <c r="C35" s="2" t="n"/>
      <c r="D35" s="2" t="n"/>
      <c r="E35" s="2" t="n"/>
      <c r="F35" s="2" t="n"/>
      <c r="G35" s="2" t="n"/>
      <c r="H35" s="2" t="n"/>
      <c r="I35" s="41">
        <f>C35+E35+G35</f>
        <v/>
      </c>
      <c r="J35" s="39" t="n"/>
      <c r="K35" s="26">
        <f>D35+F35+H35</f>
        <v/>
      </c>
      <c r="L35" s="40" t="n"/>
      <c r="M35" s="37" t="n"/>
    </row>
    <row r="36">
      <c r="A36" s="37" t="n"/>
      <c r="B36" s="1" t="inlineStr">
        <is>
          <t>KMRT0004</t>
        </is>
      </c>
      <c r="C36" s="4" t="n"/>
      <c r="D36" s="4" t="n"/>
      <c r="E36" s="4" t="n"/>
      <c r="F36" s="4" t="n"/>
      <c r="G36" s="4" t="n"/>
      <c r="H36" s="4" t="n"/>
      <c r="I36" s="33">
        <f>C36+E36+G36</f>
        <v/>
      </c>
      <c r="J36" s="39" t="n"/>
      <c r="K36" s="23">
        <f>D36+F36+H36</f>
        <v/>
      </c>
      <c r="L36" s="40" t="n"/>
      <c r="M36" s="37" t="n"/>
    </row>
    <row r="37">
      <c r="A37" s="37" t="n"/>
      <c r="B37" s="1" t="inlineStr">
        <is>
          <t>KMRT0005</t>
        </is>
      </c>
      <c r="C37" s="2" t="n"/>
      <c r="D37" s="2" t="n"/>
      <c r="E37" s="2" t="n"/>
      <c r="F37" s="2" t="n"/>
      <c r="G37" s="2" t="n"/>
      <c r="H37" s="2" t="n"/>
      <c r="I37" s="41">
        <f>C37+E37+G37</f>
        <v/>
      </c>
      <c r="J37" s="39" t="n"/>
      <c r="K37" s="26">
        <f>D37+F37+H37</f>
        <v/>
      </c>
      <c r="L37" s="40" t="n"/>
      <c r="M37" s="37" t="n"/>
    </row>
    <row r="38">
      <c r="A38" s="37" t="n"/>
      <c r="B38" s="1" t="inlineStr">
        <is>
          <t>KMRT0006</t>
        </is>
      </c>
      <c r="C38" s="5" t="n"/>
      <c r="D38" s="5" t="n"/>
      <c r="E38" s="5" t="n"/>
      <c r="F38" s="5" t="n"/>
      <c r="G38" s="5" t="n"/>
      <c r="H38" s="5" t="n"/>
      <c r="I38" s="33">
        <f>C38+E38+G38</f>
        <v/>
      </c>
      <c r="J38" s="39" t="n"/>
      <c r="K38" s="23">
        <f>D38+F38+H38</f>
        <v/>
      </c>
      <c r="L38" s="40" t="n"/>
      <c r="M38" s="37" t="n"/>
    </row>
    <row r="39">
      <c r="A39" s="37" t="n"/>
      <c r="B39" s="1" t="inlineStr">
        <is>
          <t>KMRT0007</t>
        </is>
      </c>
      <c r="C39" s="2" t="n"/>
      <c r="D39" s="2" t="n"/>
      <c r="E39" s="2" t="n"/>
      <c r="F39" s="2" t="n"/>
      <c r="G39" s="2" t="n"/>
      <c r="H39" s="2" t="n"/>
      <c r="I39" s="41">
        <f>C39+E39+G39</f>
        <v/>
      </c>
      <c r="J39" s="39" t="n"/>
      <c r="K39" s="26">
        <f>D39+F39+H39</f>
        <v/>
      </c>
      <c r="L39" s="40" t="n"/>
      <c r="M39" s="37" t="n"/>
    </row>
    <row r="40">
      <c r="A40" s="37" t="n"/>
      <c r="B40" s="1" t="inlineStr">
        <is>
          <t>KMRT0008</t>
        </is>
      </c>
      <c r="C40" s="5" t="n"/>
      <c r="D40" s="5" t="n"/>
      <c r="E40" s="5" t="n"/>
      <c r="F40" s="5" t="n"/>
      <c r="G40" s="5" t="n"/>
      <c r="H40" s="5" t="n"/>
      <c r="I40" s="33">
        <f>C40+E40+G40</f>
        <v/>
      </c>
      <c r="J40" s="39" t="n"/>
      <c r="K40" s="23">
        <f>D40+F40+H40</f>
        <v/>
      </c>
      <c r="L40" s="40" t="n"/>
      <c r="M40" s="37" t="n"/>
    </row>
    <row r="41">
      <c r="A41" s="37" t="n"/>
      <c r="B41" s="1" t="inlineStr">
        <is>
          <t>TOTAL TECO</t>
        </is>
      </c>
      <c r="C41" s="42">
        <f>SUM(C33:D40)</f>
        <v/>
      </c>
      <c r="D41" s="39" t="n"/>
      <c r="E41" s="42">
        <f>SUM(E33:F40)</f>
        <v/>
      </c>
      <c r="F41" s="39" t="n"/>
      <c r="G41" s="42">
        <f>SUM(G33:H40)</f>
        <v/>
      </c>
      <c r="H41" s="39" t="n"/>
      <c r="I41" s="42" t="inlineStr">
        <is>
          <t>TOTAL:</t>
        </is>
      </c>
      <c r="J41" s="39" t="n"/>
      <c r="K41" s="20">
        <f>SUM(I33:L40)</f>
        <v/>
      </c>
      <c r="L41" s="40" t="n"/>
      <c r="M41" s="37" t="n"/>
      <c r="N41" s="37" t="n"/>
      <c r="O41" s="37" t="n"/>
      <c r="P41" s="37" t="n"/>
      <c r="Q41" s="37" t="n"/>
      <c r="R41" s="37" t="n"/>
      <c r="S41" s="37" t="n"/>
      <c r="T41" s="37" t="n"/>
    </row>
    <row r="42">
      <c r="A42" s="37" t="n"/>
      <c r="T42" s="37" t="n"/>
    </row>
    <row r="43">
      <c r="A43" s="37" t="n"/>
      <c r="T43" s="37" t="n"/>
    </row>
    <row r="44">
      <c r="A44" s="37" t="n"/>
      <c r="B44" s="3" t="n"/>
      <c r="C44" s="32" t="inlineStr">
        <is>
          <t>KIRAAN GAJI PEKERJA (RM)</t>
        </is>
      </c>
      <c r="D44" s="40" t="n"/>
      <c r="E44" s="40" t="n"/>
      <c r="F44" s="39" t="n"/>
      <c r="I44" s="3" t="n"/>
      <c r="J44" s="32" t="inlineStr">
        <is>
          <t>KIRAAN GAJI PEKERJA (RM)</t>
        </is>
      </c>
      <c r="K44" s="40" t="n"/>
      <c r="L44" s="40" t="n"/>
      <c r="M44" s="39" t="n"/>
      <c r="O44" s="3" t="n"/>
      <c r="P44" s="32" t="inlineStr">
        <is>
          <t>KIRAAN GAJI PEKERJA (RM) after SOCSO</t>
        </is>
      </c>
      <c r="Q44" s="40" t="n"/>
      <c r="R44" s="40" t="n"/>
      <c r="S44" s="39" t="n"/>
      <c r="T44" s="37" t="n"/>
    </row>
    <row r="45">
      <c r="A45" s="37" t="n"/>
      <c r="B45" s="3" t="inlineStr">
        <is>
          <t>TEAM</t>
        </is>
      </c>
      <c r="C45" s="32" t="inlineStr">
        <is>
          <t>HELPER</t>
        </is>
      </c>
      <c r="D45" s="39" t="n"/>
      <c r="E45" s="32" t="inlineStr">
        <is>
          <t>INSTALLER</t>
        </is>
      </c>
      <c r="F45" s="39" t="n"/>
      <c r="I45" s="3" t="inlineStr">
        <is>
          <t>TEAM</t>
        </is>
      </c>
      <c r="J45" s="32" t="inlineStr">
        <is>
          <t>HELPER</t>
        </is>
      </c>
      <c r="K45" s="39" t="n"/>
      <c r="L45" s="32" t="inlineStr">
        <is>
          <t>INSTALLER</t>
        </is>
      </c>
      <c r="M45" s="39" t="n"/>
      <c r="O45" s="3" t="inlineStr">
        <is>
          <t>TEAM</t>
        </is>
      </c>
      <c r="P45" s="32" t="inlineStr">
        <is>
          <t>HELPER</t>
        </is>
      </c>
      <c r="Q45" s="39" t="n"/>
      <c r="R45" s="32" t="inlineStr">
        <is>
          <t>INSTALLER</t>
        </is>
      </c>
      <c r="S45" s="39" t="n"/>
      <c r="T45" s="37" t="n"/>
    </row>
    <row r="46">
      <c r="A46" s="37" t="n"/>
      <c r="B46" s="7" t="inlineStr">
        <is>
          <t>KMRT0001</t>
        </is>
      </c>
      <c r="C46" s="16" t="n"/>
      <c r="D46" s="39" t="n"/>
      <c r="E46" s="16" t="n"/>
      <c r="F46" s="39" t="n"/>
      <c r="I46" s="3" t="inlineStr">
        <is>
          <t>KMRT0002</t>
        </is>
      </c>
      <c r="J46" s="15">
        <f>(C19+C47)</f>
        <v/>
      </c>
      <c r="K46" s="39" t="n"/>
      <c r="L46" s="15">
        <f>(E19+E47)</f>
        <v/>
      </c>
      <c r="M46" s="39" t="n"/>
      <c r="O46" s="3" t="inlineStr">
        <is>
          <t>KMRT0002</t>
        </is>
      </c>
      <c r="P46" s="15">
        <f>J46-180</f>
        <v/>
      </c>
      <c r="Q46" s="39" t="n"/>
      <c r="R46" s="15">
        <f>L46-180</f>
        <v/>
      </c>
      <c r="S46" s="39" t="n"/>
      <c r="T46" s="37" t="n"/>
    </row>
    <row r="47">
      <c r="A47" s="37" t="n"/>
      <c r="B47" s="3" t="inlineStr">
        <is>
          <t>KMRT0002</t>
        </is>
      </c>
      <c r="C47" s="15">
        <f>(I34*15)+(K34*18)</f>
        <v/>
      </c>
      <c r="D47" s="39" t="n"/>
      <c r="E47" s="15">
        <f>(I34*18)+(K34*20)</f>
        <v/>
      </c>
      <c r="F47" s="39" t="n"/>
      <c r="I47" s="3" t="inlineStr">
        <is>
          <t>KMRT0003</t>
        </is>
      </c>
      <c r="J47" s="15">
        <f>(C20+C48)</f>
        <v/>
      </c>
      <c r="K47" s="39" t="n"/>
      <c r="L47" s="15">
        <f>(E20+E48)</f>
        <v/>
      </c>
      <c r="M47" s="39" t="n"/>
      <c r="O47" s="3" t="inlineStr">
        <is>
          <t>KMRT0003</t>
        </is>
      </c>
      <c r="P47" s="15">
        <f>J47-180</f>
        <v/>
      </c>
      <c r="Q47" s="39" t="n"/>
      <c r="R47" s="15">
        <f>L47-180</f>
        <v/>
      </c>
      <c r="S47" s="39" t="n"/>
      <c r="T47" s="37" t="n"/>
    </row>
    <row r="48">
      <c r="A48" s="37" t="n"/>
      <c r="B48" s="3" t="inlineStr">
        <is>
          <t>KMRT0003</t>
        </is>
      </c>
      <c r="C48" s="15">
        <f>(I35*15)+(K35*18)</f>
        <v/>
      </c>
      <c r="D48" s="39" t="n"/>
      <c r="E48" s="15">
        <f>(I35*18)+(K35*20)</f>
        <v/>
      </c>
      <c r="F48" s="39" t="n"/>
      <c r="I48" s="3" t="inlineStr">
        <is>
          <t>KMRT0004</t>
        </is>
      </c>
      <c r="J48" s="15">
        <f>(C21+C49)</f>
        <v/>
      </c>
      <c r="K48" s="39" t="n"/>
      <c r="L48" s="15">
        <f>(E21+E49)</f>
        <v/>
      </c>
      <c r="M48" s="39" t="n"/>
      <c r="O48" s="3" t="inlineStr">
        <is>
          <t>KMRT0004</t>
        </is>
      </c>
      <c r="P48" s="15">
        <f>J48-180</f>
        <v/>
      </c>
      <c r="Q48" s="39" t="n"/>
      <c r="R48" s="15">
        <f>L48-180</f>
        <v/>
      </c>
      <c r="S48" s="39" t="n"/>
      <c r="T48" s="37" t="n"/>
    </row>
    <row r="49">
      <c r="A49" s="37" t="n"/>
      <c r="B49" s="3" t="inlineStr">
        <is>
          <t>KMRT0004</t>
        </is>
      </c>
      <c r="C49" s="15">
        <f>(I36*15)+(K36*18)</f>
        <v/>
      </c>
      <c r="D49" s="39" t="n"/>
      <c r="E49" s="15">
        <f>(I36*18)+(K36*20)</f>
        <v/>
      </c>
      <c r="F49" s="39" t="n"/>
      <c r="I49" s="3" t="inlineStr">
        <is>
          <t>KMRT0005</t>
        </is>
      </c>
      <c r="J49" s="15">
        <f>(C22+C50)</f>
        <v/>
      </c>
      <c r="K49" s="39" t="n"/>
      <c r="L49" s="15">
        <f>(E22+E50)</f>
        <v/>
      </c>
      <c r="M49" s="39" t="n"/>
      <c r="O49" s="3" t="inlineStr">
        <is>
          <t>KMRT0005</t>
        </is>
      </c>
      <c r="P49" s="15">
        <f>J49-180</f>
        <v/>
      </c>
      <c r="Q49" s="39" t="n"/>
      <c r="R49" s="15">
        <f>L49-180</f>
        <v/>
      </c>
      <c r="S49" s="39" t="n"/>
      <c r="T49" s="37" t="n"/>
    </row>
    <row r="50">
      <c r="A50" s="37" t="n"/>
      <c r="B50" s="3" t="inlineStr">
        <is>
          <t>KMRT0005</t>
        </is>
      </c>
      <c r="C50" s="15">
        <f>(I37*15)+(K37*18)</f>
        <v/>
      </c>
      <c r="D50" s="39" t="n"/>
      <c r="E50" s="15">
        <f>(I37*18)+(K37*20)</f>
        <v/>
      </c>
      <c r="F50" s="39" t="n"/>
      <c r="I50" s="3" t="inlineStr">
        <is>
          <t>KMRT0006</t>
        </is>
      </c>
      <c r="J50" s="15">
        <f>(C23+C51)</f>
        <v/>
      </c>
      <c r="K50" s="39" t="n"/>
      <c r="L50" s="15">
        <f>(E23+E51)</f>
        <v/>
      </c>
      <c r="M50" s="39" t="n"/>
      <c r="O50" s="3" t="inlineStr">
        <is>
          <t>KMRT0006</t>
        </is>
      </c>
      <c r="P50" s="15">
        <f>J50-180</f>
        <v/>
      </c>
      <c r="Q50" s="39" t="n"/>
      <c r="R50" s="15">
        <f>L50-180</f>
        <v/>
      </c>
      <c r="S50" s="39" t="n"/>
      <c r="T50" s="37" t="n"/>
    </row>
    <row r="51">
      <c r="A51" s="37" t="n"/>
      <c r="B51" s="3" t="inlineStr">
        <is>
          <t>KMRT0006</t>
        </is>
      </c>
      <c r="C51" s="15">
        <f>(I38*15)+(K38*18)</f>
        <v/>
      </c>
      <c r="D51" s="39" t="n"/>
      <c r="E51" s="15">
        <f>(I38*18)+(K38*20)</f>
        <v/>
      </c>
      <c r="F51" s="39" t="n"/>
      <c r="I51" s="3" t="inlineStr">
        <is>
          <t>KMRT0007</t>
        </is>
      </c>
      <c r="J51" s="15">
        <f>(C24+C52)</f>
        <v/>
      </c>
      <c r="K51" s="39" t="n"/>
      <c r="L51" s="15">
        <f>(E24+E52)</f>
        <v/>
      </c>
      <c r="M51" s="39" t="n"/>
      <c r="O51" s="3" t="inlineStr">
        <is>
          <t>KMRT0007</t>
        </is>
      </c>
      <c r="P51" s="15">
        <f>J51-180</f>
        <v/>
      </c>
      <c r="Q51" s="39" t="n"/>
      <c r="R51" s="15">
        <f>L51-180</f>
        <v/>
      </c>
      <c r="S51" s="39" t="n"/>
      <c r="T51" s="37" t="n"/>
    </row>
    <row r="52">
      <c r="A52" s="37" t="n"/>
      <c r="B52" s="3" t="inlineStr">
        <is>
          <t>KMRT0007</t>
        </is>
      </c>
      <c r="C52" s="15">
        <f>(I39*15)+(K39*18)</f>
        <v/>
      </c>
      <c r="D52" s="39" t="n"/>
      <c r="E52" s="15">
        <f>(I39*18)+(K39*20)</f>
        <v/>
      </c>
      <c r="F52" s="39" t="n"/>
      <c r="I52" s="3" t="inlineStr">
        <is>
          <t>KMRT0008</t>
        </is>
      </c>
      <c r="J52" s="15">
        <f>(C25+C53)</f>
        <v/>
      </c>
      <c r="K52" s="39" t="n"/>
      <c r="L52" s="15">
        <f>(E25+E53)</f>
        <v/>
      </c>
      <c r="M52" s="39" t="n"/>
      <c r="O52" s="3" t="inlineStr">
        <is>
          <t>KMRT0008</t>
        </is>
      </c>
      <c r="P52" s="15">
        <f>J52-180</f>
        <v/>
      </c>
      <c r="Q52" s="39" t="n"/>
      <c r="R52" s="15">
        <f>L52-180</f>
        <v/>
      </c>
      <c r="S52" s="39" t="n"/>
      <c r="T52" s="37" t="n"/>
    </row>
    <row r="53">
      <c r="A53" s="37" t="n"/>
      <c r="B53" s="3" t="inlineStr">
        <is>
          <t>KMRT0008</t>
        </is>
      </c>
      <c r="C53" s="15">
        <f>(I40*15)+(K40*18)</f>
        <v/>
      </c>
      <c r="D53" s="39" t="n"/>
      <c r="E53" s="15">
        <f>(I40*18)+(K40*20)</f>
        <v/>
      </c>
      <c r="F53" s="39" t="n"/>
      <c r="I53" s="3" t="inlineStr">
        <is>
          <t>SV</t>
        </is>
      </c>
      <c r="J53" s="15">
        <f>(C26+C54)</f>
        <v/>
      </c>
      <c r="K53" s="40" t="n"/>
      <c r="L53" s="40" t="n"/>
      <c r="M53" s="39" t="n"/>
      <c r="O53" s="3" t="inlineStr">
        <is>
          <t>SV</t>
        </is>
      </c>
      <c r="P53" s="15">
        <f>J53-180</f>
        <v/>
      </c>
      <c r="Q53" s="40" t="n"/>
      <c r="R53" s="40" t="n"/>
      <c r="S53" s="39" t="n"/>
      <c r="T53" s="37" t="n"/>
    </row>
    <row r="54">
      <c r="A54" s="37" t="n"/>
      <c r="B54" s="3" t="inlineStr">
        <is>
          <t>SV</t>
        </is>
      </c>
      <c r="C54" s="15">
        <f>(K41*4)</f>
        <v/>
      </c>
      <c r="D54" s="40" t="n"/>
      <c r="E54" s="40" t="n"/>
      <c r="F54" s="39" t="n"/>
      <c r="T54" s="37" t="n"/>
    </row>
    <row r="55">
      <c r="A55" s="37" t="n"/>
      <c r="T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37" t="n"/>
      <c r="O56" s="37" t="n"/>
      <c r="P56" s="37" t="n"/>
      <c r="Q56" s="37" t="n"/>
      <c r="R56" s="37" t="n"/>
      <c r="S56" s="37" t="n"/>
      <c r="T56" s="37" t="n"/>
    </row>
  </sheetData>
  <mergeCells count="174">
    <mergeCell ref="L17:M17"/>
    <mergeCell ref="K33:L33"/>
    <mergeCell ref="J19:K19"/>
    <mergeCell ref="E23:F23"/>
    <mergeCell ref="L19:M19"/>
    <mergeCell ref="K35:L35"/>
    <mergeCell ref="E51:F51"/>
    <mergeCell ref="C41:D41"/>
    <mergeCell ref="P46:Q46"/>
    <mergeCell ref="C50:D50"/>
    <mergeCell ref="J44:M44"/>
    <mergeCell ref="J45:K45"/>
    <mergeCell ref="Q26:R26"/>
    <mergeCell ref="L45:M45"/>
    <mergeCell ref="P48:Q48"/>
    <mergeCell ref="P44:S44"/>
    <mergeCell ref="R51:S51"/>
    <mergeCell ref="C26:F26"/>
    <mergeCell ref="E49:F49"/>
    <mergeCell ref="C54:F54"/>
    <mergeCell ref="J53:M53"/>
    <mergeCell ref="Q27:R27"/>
    <mergeCell ref="C17:D17"/>
    <mergeCell ref="P47:Q47"/>
    <mergeCell ref="Q30:R30"/>
    <mergeCell ref="S30:T30"/>
    <mergeCell ref="J21:K21"/>
    <mergeCell ref="L21:M21"/>
    <mergeCell ref="Q11:R11"/>
    <mergeCell ref="C19:D19"/>
    <mergeCell ref="K37:L37"/>
    <mergeCell ref="Q34:T34"/>
    <mergeCell ref="E22:F22"/>
    <mergeCell ref="I13:J13"/>
    <mergeCell ref="J23:K23"/>
    <mergeCell ref="E53:F53"/>
    <mergeCell ref="K13:L13"/>
    <mergeCell ref="C3:D3"/>
    <mergeCell ref="E3:F3"/>
    <mergeCell ref="I6:J6"/>
    <mergeCell ref="Q17:T17"/>
    <mergeCell ref="C45:D45"/>
    <mergeCell ref="P50:Q50"/>
    <mergeCell ref="E48:F48"/>
    <mergeCell ref="C47:D47"/>
    <mergeCell ref="P52:Q52"/>
    <mergeCell ref="J17:K17"/>
    <mergeCell ref="I31:L31"/>
    <mergeCell ref="Q29:R29"/>
    <mergeCell ref="I7:J7"/>
    <mergeCell ref="I32:J32"/>
    <mergeCell ref="K32:L32"/>
    <mergeCell ref="I41:J41"/>
    <mergeCell ref="K41:L41"/>
    <mergeCell ref="J49:K49"/>
    <mergeCell ref="R45:S45"/>
    <mergeCell ref="Q31:R31"/>
    <mergeCell ref="J20:K20"/>
    <mergeCell ref="L20:M20"/>
    <mergeCell ref="R47:S47"/>
    <mergeCell ref="I33:J33"/>
    <mergeCell ref="S33:T33"/>
    <mergeCell ref="I8:J8"/>
    <mergeCell ref="J22:K22"/>
    <mergeCell ref="L22:M22"/>
    <mergeCell ref="I35:J35"/>
    <mergeCell ref="J46:K46"/>
    <mergeCell ref="E25:F25"/>
    <mergeCell ref="I10:J10"/>
    <mergeCell ref="L46:M46"/>
    <mergeCell ref="K10:L10"/>
    <mergeCell ref="J51:K51"/>
    <mergeCell ref="C18:D18"/>
    <mergeCell ref="C53:D53"/>
    <mergeCell ref="K6:L6"/>
    <mergeCell ref="E18:F18"/>
    <mergeCell ref="I9:J9"/>
    <mergeCell ref="J48:K48"/>
    <mergeCell ref="L48:M48"/>
    <mergeCell ref="E50:F50"/>
    <mergeCell ref="P51:Q51"/>
    <mergeCell ref="Q28:R28"/>
    <mergeCell ref="K9:L9"/>
    <mergeCell ref="K5:L5"/>
    <mergeCell ref="I11:J11"/>
    <mergeCell ref="E52:F52"/>
    <mergeCell ref="L47:M47"/>
    <mergeCell ref="R49:S49"/>
    <mergeCell ref="C20:D20"/>
    <mergeCell ref="E20:F20"/>
    <mergeCell ref="K11:L11"/>
    <mergeCell ref="J24:K24"/>
    <mergeCell ref="L24:M24"/>
    <mergeCell ref="L18:M18"/>
    <mergeCell ref="E13:F13"/>
    <mergeCell ref="C22:D22"/>
    <mergeCell ref="S28:T28"/>
    <mergeCell ref="G13:H13"/>
    <mergeCell ref="I37:J37"/>
    <mergeCell ref="C31:D31"/>
    <mergeCell ref="K40:L40"/>
    <mergeCell ref="P49:Q49"/>
    <mergeCell ref="E31:F31"/>
    <mergeCell ref="S31:T31"/>
    <mergeCell ref="C46:D46"/>
    <mergeCell ref="C21:D21"/>
    <mergeCell ref="E46:F46"/>
    <mergeCell ref="K8:L8"/>
    <mergeCell ref="C51:D51"/>
    <mergeCell ref="J25:K25"/>
    <mergeCell ref="L50:M50"/>
    <mergeCell ref="L25:M25"/>
    <mergeCell ref="C48:D48"/>
    <mergeCell ref="C23:D23"/>
    <mergeCell ref="C44:F44"/>
    <mergeCell ref="K7:L7"/>
    <mergeCell ref="L52:M52"/>
    <mergeCell ref="J50:K50"/>
    <mergeCell ref="B30:L30"/>
    <mergeCell ref="J26:M26"/>
    <mergeCell ref="E41:F41"/>
    <mergeCell ref="R46:S46"/>
    <mergeCell ref="G41:H41"/>
    <mergeCell ref="Q32:R32"/>
    <mergeCell ref="S32:T32"/>
    <mergeCell ref="J16:M16"/>
    <mergeCell ref="S26:T26"/>
    <mergeCell ref="R52:S52"/>
    <mergeCell ref="J52:K52"/>
    <mergeCell ref="P45:Q45"/>
    <mergeCell ref="C49:D49"/>
    <mergeCell ref="R48:S48"/>
    <mergeCell ref="I34:J34"/>
    <mergeCell ref="Q25:R25"/>
    <mergeCell ref="C24:D24"/>
    <mergeCell ref="K34:L34"/>
    <mergeCell ref="S25:T25"/>
    <mergeCell ref="E24:F24"/>
    <mergeCell ref="P53:S53"/>
    <mergeCell ref="Q33:R33"/>
    <mergeCell ref="I36:J36"/>
    <mergeCell ref="S27:T27"/>
    <mergeCell ref="E17:F17"/>
    <mergeCell ref="K36:L36"/>
    <mergeCell ref="S11:T11"/>
    <mergeCell ref="C25:D25"/>
    <mergeCell ref="E19:F19"/>
    <mergeCell ref="L23:M23"/>
    <mergeCell ref="G3:H3"/>
    <mergeCell ref="Q24:T24"/>
    <mergeCell ref="I12:J12"/>
    <mergeCell ref="K12:L12"/>
    <mergeCell ref="L51:M51"/>
    <mergeCell ref="E45:F45"/>
    <mergeCell ref="C16:F16"/>
    <mergeCell ref="I5:J5"/>
    <mergeCell ref="R50:S50"/>
    <mergeCell ref="I39:J39"/>
    <mergeCell ref="C52:D52"/>
    <mergeCell ref="K39:L39"/>
    <mergeCell ref="J47:K47"/>
    <mergeCell ref="I4:J4"/>
    <mergeCell ref="I38:J38"/>
    <mergeCell ref="S29:T29"/>
    <mergeCell ref="I3:L3"/>
    <mergeCell ref="K38:L38"/>
    <mergeCell ref="J18:K18"/>
    <mergeCell ref="L49:M49"/>
    <mergeCell ref="G31:H31"/>
    <mergeCell ref="C13:D13"/>
    <mergeCell ref="K4:L4"/>
    <mergeCell ref="I40:J40"/>
    <mergeCell ref="E47:F47"/>
    <mergeCell ref="E21:F21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Nik Muhammad Danish Muqriz Bin Yusran</dc:creator>
  <dcterms:created xsi:type="dcterms:W3CDTF">2025-10-01T12:26:13Z</dcterms:created>
  <dcterms:modified xsi:type="dcterms:W3CDTF">2026-05-29T07:36:22Z</dcterms:modified>
  <cp:lastModifiedBy>Nik Muhammad Danish Muqriz Yusran</cp:lastModifiedBy>
</cp:coreProperties>
</file>